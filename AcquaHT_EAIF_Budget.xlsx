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inline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000FF"/>
    </font>
    <font>
      <b val="1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166" fontId="3" fillId="4" borderId="0" pivotButton="0" quotePrefix="0" xfId="0"/>
    <xf numFmtId="164" fontId="4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5" borderId="1" pivotButton="0" quotePrefix="0" xfId="0"/>
    <xf numFmtId="0" fontId="0" fillId="5" borderId="1" pivotButton="0" quotePrefix="0" xfId="0"/>
    <xf numFmtId="164" fontId="4" fillId="5" borderId="1" pivotButton="0" quotePrefix="0" xfId="0"/>
    <xf numFmtId="9" fontId="4" fillId="5" borderId="1" pivotButton="0" quotePrefix="0" xfId="0"/>
    <xf numFmtId="164" fontId="3" fillId="4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164" fontId="0" fillId="0" borderId="1" pivotButton="0" quotePrefix="0" xfId="0"/>
    <xf numFmtId="165" fontId="3" fillId="4" borderId="1" pivotButton="0" quotePrefix="0" xfId="0"/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8" customHeight="1">
      <c r="A1" s="1" t="inlineStr">
        <is>
          <t>1. If you would like to calculate your expenses in a currency other than USD, you can fill in cell B1 with the conversion between your currency and USD (using Google's currency converter). Then, enter amounts in column D using your own currency, and they will automatically convert to USD in column F.</t>
        </is>
      </c>
    </row>
    <row r="2" ht="48" customHeight="1">
      <c r="A2" s="1" t="inlineStr">
        <is>
          <t>2. We suggest a contingency buffer of 5% of your grant. Cell F2 will automatically calculate this as you add line items below (don't add anything above it).</t>
        </is>
      </c>
    </row>
    <row r="3" ht="48" customHeight="1">
      <c r="A3" s="1" t="inlineStr">
        <is>
          <t>3. You don't have to use this template for your grant budget, but we ask that you submit your application budget in a spreadsheet format.</t>
        </is>
      </c>
    </row>
    <row r="4" ht="48" customHeight="1">
      <c r="A4" s="1" t="inlineStr">
        <is>
          <t>4. If you are applying for a range of funding scenarios (e.g., minimum, mainline, and maximum), please use a new tab for each scenario. To duplicate the budget template, right click the name of the tab, then select 'Duplicate'. Please name the tab with the funding scenario (e.g. "Mainline").</t>
        </is>
      </c>
    </row>
    <row r="5" ht="32" customHeight="1">
      <c r="A5" s="1" t="inlineStr">
        <is>
          <t>5. Please email grants@centreforeffectivealtruism.org if you have any problems or suggestions for this template.</t>
        </is>
      </c>
    </row>
    <row r="6" ht="32" customHeight="1">
      <c r="A6" s="1" t="inlineStr"/>
    </row>
    <row r="7" ht="48" customHeight="1">
      <c r="A7" s="2" t="inlineStr">
        <is>
          <t>AcquaHT notes: This file has one scenario (Mainline, $75,000). B1 = 1 because all amounts are entered in USD. Yellow cells are inputs; all other numbers are formulas. The 'Detail' tab shows how each category adds up, and 'Assumptions' lists the reasoning.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22" customWidth="1" min="3" max="3"/>
    <col width="20" customWidth="1" min="4" max="4"/>
    <col width="12" customWidth="1" min="5" max="5"/>
    <col width="18" customWidth="1" min="6" max="6"/>
  </cols>
  <sheetData>
    <row r="1">
      <c r="A1" s="3" t="inlineStr">
        <is>
          <t>Currency conversion (1 unit of your currency = ? USD)</t>
        </is>
      </c>
      <c r="B1" s="4" t="n">
        <v>1</v>
      </c>
      <c r="C1" t="inlineStr">
        <is>
          <t>1 = amounts already in USD</t>
        </is>
      </c>
    </row>
    <row r="2">
      <c r="A2" s="3" t="inlineStr">
        <is>
          <t>Contingency buffer</t>
        </is>
      </c>
      <c r="B2" t="inlineStr">
        <is>
          <t>Contingency (% of line items)</t>
        </is>
      </c>
      <c r="C2" s="5" t="n">
        <v>0.07142857142857142</v>
      </c>
      <c r="E2" t="inlineStr">
        <is>
          <t>USD</t>
        </is>
      </c>
      <c r="F2" s="6">
        <f>ROUND(F11*C2,0)</f>
        <v/>
      </c>
    </row>
    <row r="4">
      <c r="A4" s="7" t="inlineStr">
        <is>
          <t>Category</t>
        </is>
      </c>
      <c r="B4" s="7" t="inlineStr">
        <is>
          <t>What it covers</t>
        </is>
      </c>
      <c r="C4" s="7" t="inlineStr">
        <is>
          <t>Timeline</t>
        </is>
      </c>
      <c r="D4" s="7" t="inlineStr">
        <is>
          <t>Amount (your currency)</t>
        </is>
      </c>
      <c r="E4" s="7" t="inlineStr">
        <is>
          <t>% of total</t>
        </is>
      </c>
      <c r="F4" s="7" t="inlineStr">
        <is>
          <t>Amount (USD)</t>
        </is>
      </c>
    </row>
    <row r="5">
      <c r="A5" s="8" t="inlineStr">
        <is>
          <t>Prototype build (1,000 L/day module)</t>
        </is>
      </c>
      <c r="B5" s="8" t="inlineStr">
        <is>
          <t>Materials and assembly for one full-size module</t>
        </is>
      </c>
      <c r="C5" s="8" t="inlineStr">
        <is>
          <t>Months 1–6</t>
        </is>
      </c>
      <c r="D5" s="9">
        <f>Detail!E11</f>
        <v/>
      </c>
      <c r="E5" s="10">
        <f>F5/$F$13</f>
        <v/>
      </c>
      <c r="F5" s="11">
        <f>D5*$B$1</f>
        <v/>
      </c>
    </row>
    <row r="6">
      <c r="A6" s="8" t="inlineStr">
        <is>
          <t>Lab testing</t>
        </is>
      </c>
      <c r="B6" s="8" t="inlineStr">
        <is>
          <t>Equipment, instrumentation, third-party WHO/BIS water tests, environmental compliance</t>
        </is>
      </c>
      <c r="C6" s="8" t="inlineStr">
        <is>
          <t>Months 5–9</t>
        </is>
      </c>
      <c r="D6" s="9">
        <f>Detail!E17</f>
        <v/>
      </c>
      <c r="E6" s="10">
        <f>F6/$F$13</f>
        <v/>
      </c>
      <c r="F6" s="11">
        <f>D6*$B$1</f>
        <v/>
      </c>
    </row>
    <row r="7">
      <c r="A7" s="8" t="inlineStr">
        <is>
          <t>Field validation</t>
        </is>
      </c>
      <c r="B7" s="8" t="inlineStr">
        <is>
          <t>Deployment, 6 months of monitoring, travel</t>
        </is>
      </c>
      <c r="C7" s="8" t="inlineStr">
        <is>
          <t>Months 9–15</t>
        </is>
      </c>
      <c r="D7" s="9">
        <f>Detail!E27</f>
        <v/>
      </c>
      <c r="E7" s="10">
        <f>F7/$F$13</f>
        <v/>
      </c>
      <c r="F7" s="11">
        <f>D7*$B$1</f>
        <v/>
      </c>
    </row>
    <row r="8">
      <c r="A8" s="8" t="inlineStr">
        <is>
          <t>Stipend for 1 FTE</t>
        </is>
      </c>
      <c r="B8" s="8" t="inlineStr">
        <is>
          <t>One full-time engineer for 18 months</t>
        </is>
      </c>
      <c r="C8" s="8" t="inlineStr">
        <is>
          <t>Months 1–18</t>
        </is>
      </c>
      <c r="D8" s="9">
        <f>Detail!E30</f>
        <v/>
      </c>
      <c r="E8" s="10">
        <f>F8/$F$13</f>
        <v/>
      </c>
      <c r="F8" s="11">
        <f>D8*$B$1</f>
        <v/>
      </c>
    </row>
    <row r="9">
      <c r="A9" s="8" t="inlineStr">
        <is>
          <t>Open-source package</t>
        </is>
      </c>
      <c r="B9" s="8" t="inlineStr">
        <is>
          <t>Documentation, video, translation into Hindi, French, Spanish</t>
        </is>
      </c>
      <c r="C9" s="8" t="inlineStr">
        <is>
          <t>Months 15–18</t>
        </is>
      </c>
      <c r="D9" s="9">
        <f>Detail!E35</f>
        <v/>
      </c>
      <c r="E9" s="10">
        <f>F9/$F$13</f>
        <v/>
      </c>
      <c r="F9" s="11">
        <f>D9*$B$1</f>
        <v/>
      </c>
    </row>
    <row r="11">
      <c r="A11" s="12" t="inlineStr">
        <is>
          <t>Subtotal (line items)</t>
        </is>
      </c>
      <c r="B11" s="13" t="n"/>
      <c r="C11" s="13" t="n"/>
      <c r="D11" s="14">
        <f>SUM(D5:D9)</f>
        <v/>
      </c>
      <c r="E11" s="15">
        <f>F11/$F$13</f>
        <v/>
      </c>
      <c r="F11" s="14">
        <f>SUM(F5:F9)</f>
        <v/>
      </c>
    </row>
    <row r="12">
      <c r="A12" s="12" t="inlineStr">
        <is>
          <t>Contingency buffer (from F2)</t>
        </is>
      </c>
      <c r="B12" s="13" t="n"/>
      <c r="C12" s="13" t="n"/>
      <c r="D12" s="14">
        <f>F2/$B$1</f>
        <v/>
      </c>
      <c r="E12" s="15">
        <f>F12/$F$13</f>
        <v/>
      </c>
      <c r="F12" s="14">
        <f>F2</f>
        <v/>
      </c>
    </row>
    <row r="13">
      <c r="A13" s="12" t="inlineStr">
        <is>
          <t>TOTAL REQUESTED</t>
        </is>
      </c>
      <c r="B13" s="13" t="n"/>
      <c r="C13" s="13" t="n"/>
      <c r="D13" s="14">
        <f>D11+D12</f>
        <v/>
      </c>
      <c r="E13" s="15">
        <f>F13/$F$13</f>
        <v/>
      </c>
      <c r="F13" s="14">
        <f>F11+F12</f>
        <v/>
      </c>
    </row>
    <row r="15">
      <c r="A15" s="3" t="inlineStr">
        <is>
          <t>Requested amount (USD)</t>
        </is>
      </c>
      <c r="F15" s="16" t="n">
        <v>75000</v>
      </c>
    </row>
    <row r="16">
      <c r="A16" s="3" t="inlineStr">
        <is>
          <t>Check: total matches request</t>
        </is>
      </c>
      <c r="F16" s="3">
        <f>IF(F13=F15,"OK","MISMATCH")</f>
        <v/>
      </c>
    </row>
    <row r="17">
      <c r="A17" s="3" t="inlineStr">
        <is>
          <t>Total project budget size (USD)</t>
        </is>
      </c>
      <c r="F17" s="17">
        <f>F13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14" customWidth="1" min="4" max="4"/>
    <col width="16" customWidth="1" min="5" max="5"/>
  </cols>
  <sheetData>
    <row r="1">
      <c r="A1" s="18" t="inlineStr">
        <is>
          <t>AcquaHT – Detailed budget breakdown (USD)</t>
        </is>
      </c>
    </row>
    <row r="3">
      <c r="A3" s="19" t="inlineStr">
        <is>
          <t>Category</t>
        </is>
      </c>
      <c r="B3" s="19" t="inlineStr">
        <is>
          <t>Line item</t>
        </is>
      </c>
      <c r="C3" s="19" t="inlineStr">
        <is>
          <t>Qty</t>
        </is>
      </c>
      <c r="D3" s="19" t="inlineStr">
        <is>
          <t>Unit cost</t>
        </is>
      </c>
      <c r="E3" s="19" t="inlineStr">
        <is>
          <t>Total (USD)</t>
        </is>
      </c>
    </row>
    <row r="4">
      <c r="A4" s="20" t="inlineStr">
        <is>
          <t>Prototype build (1,000 L/day module)</t>
        </is>
      </c>
      <c r="B4" s="8" t="inlineStr">
        <is>
          <t>Refrigeration system (compressor, evaporator, condenser coils)</t>
        </is>
      </c>
      <c r="C4" s="21" t="n">
        <v>1</v>
      </c>
      <c r="D4" s="22" t="n">
        <v>6500</v>
      </c>
      <c r="E4" s="23">
        <f>C4*D4</f>
        <v/>
      </c>
    </row>
    <row r="5">
      <c r="A5" s="20" t="inlineStr">
        <is>
          <t>Prototype build (1,000 L/day module)</t>
        </is>
      </c>
      <c r="B5" s="8" t="inlineStr">
        <is>
          <t>Air handling (fans, ducting, air filters)</t>
        </is>
      </c>
      <c r="C5" s="21" t="n">
        <v>1</v>
      </c>
      <c r="D5" s="22" t="n">
        <v>2500</v>
      </c>
      <c r="E5" s="23">
        <f>C5*D5</f>
        <v/>
      </c>
    </row>
    <row r="6">
      <c r="A6" s="20" t="inlineStr">
        <is>
          <t>Prototype build (1,000 L/day module)</t>
        </is>
      </c>
      <c r="B6" s="8" t="inlineStr">
        <is>
          <t>Water treatment (sediment + carbon filters, UV, mineralisation)</t>
        </is>
      </c>
      <c r="C6" s="21" t="n">
        <v>1</v>
      </c>
      <c r="D6" s="22" t="n">
        <v>2500</v>
      </c>
      <c r="E6" s="23">
        <f>C6*D6</f>
        <v/>
      </c>
    </row>
    <row r="7">
      <c r="A7" s="20" t="inlineStr">
        <is>
          <t>Prototype build (1,000 L/day module)</t>
        </is>
      </c>
      <c r="B7" s="8" t="inlineStr">
        <is>
          <t>Storage tank, pumps, food-grade plumbing</t>
        </is>
      </c>
      <c r="C7" s="21" t="n">
        <v>1</v>
      </c>
      <c r="D7" s="22" t="n">
        <v>1500</v>
      </c>
      <c r="E7" s="23">
        <f>C7*D7</f>
        <v/>
      </c>
    </row>
    <row r="8">
      <c r="A8" s="20" t="inlineStr">
        <is>
          <t>Prototype build (1,000 L/day module)</t>
        </is>
      </c>
      <c r="B8" s="8" t="inlineStr">
        <is>
          <t>Controller, sensors (humidity, temp, flow, TDS), power electronics</t>
        </is>
      </c>
      <c r="C8" s="21" t="n">
        <v>1</v>
      </c>
      <c r="D8" s="22" t="n">
        <v>2500</v>
      </c>
      <c r="E8" s="23">
        <f>C8*D8</f>
        <v/>
      </c>
    </row>
    <row r="9">
      <c r="A9" s="20" t="inlineStr">
        <is>
          <t>Prototype build (1,000 L/day module)</t>
        </is>
      </c>
      <c r="B9" s="8" t="inlineStr">
        <is>
          <t>Frame, enclosure, insulation</t>
        </is>
      </c>
      <c r="C9" s="21" t="n">
        <v>1</v>
      </c>
      <c r="D9" s="22" t="n">
        <v>2000</v>
      </c>
      <c r="E9" s="23">
        <f>C9*D9</f>
        <v/>
      </c>
    </row>
    <row r="10">
      <c r="A10" s="20" t="inlineStr">
        <is>
          <t>Prototype build (1,000 L/day module)</t>
        </is>
      </c>
      <c r="B10" s="8" t="inlineStr">
        <is>
          <t>Assembly labour, fabrication, tools, consumables</t>
        </is>
      </c>
      <c r="C10" s="21" t="n">
        <v>1</v>
      </c>
      <c r="D10" s="22" t="n">
        <v>2500</v>
      </c>
      <c r="E10" s="23">
        <f>C10*D10</f>
        <v/>
      </c>
    </row>
    <row r="11">
      <c r="A11" s="13" t="n"/>
      <c r="B11" s="12" t="inlineStr">
        <is>
          <t>Subtotal – Prototype build (1,000 L/day module)</t>
        </is>
      </c>
      <c r="C11" s="13" t="n"/>
      <c r="D11" s="13" t="n"/>
      <c r="E11" s="14">
        <f>SUM(E4:E10)</f>
        <v/>
      </c>
    </row>
    <row r="13">
      <c r="A13" s="20" t="inlineStr">
        <is>
          <t>Lab testing</t>
        </is>
      </c>
      <c r="B13" s="8" t="inlineStr">
        <is>
          <t>Instrumentation (power meter, data logger, psychrometer, flow meters)</t>
        </is>
      </c>
      <c r="C13" s="21" t="n">
        <v>1</v>
      </c>
      <c r="D13" s="22" t="n">
        <v>3500</v>
      </c>
      <c r="E13" s="23">
        <f>C13*D13</f>
        <v/>
      </c>
    </row>
    <row r="14">
      <c r="A14" s="20" t="inlineStr">
        <is>
          <t>Lab testing</t>
        </is>
      </c>
      <c r="B14" s="8" t="inlineStr">
        <is>
          <t>Water quality tests to BIS IS 10500 / WHO guidelines (accredited lab)</t>
        </is>
      </c>
      <c r="C14" s="21" t="n">
        <v>4</v>
      </c>
      <c r="D14" s="22" t="n">
        <v>1000</v>
      </c>
      <c r="E14" s="23">
        <f>C14*D14</f>
        <v/>
      </c>
    </row>
    <row r="15">
      <c r="A15" s="20" t="inlineStr">
        <is>
          <t>Lab testing</t>
        </is>
      </c>
      <c r="B15" s="8" t="inlineStr">
        <is>
          <t>Environmental chamber time (output vs humidity/temp curve)</t>
        </is>
      </c>
      <c r="C15" s="21" t="n">
        <v>1</v>
      </c>
      <c r="D15" s="22" t="n">
        <v>1500</v>
      </c>
      <c r="E15" s="23">
        <f>C15*D15</f>
        <v/>
      </c>
    </row>
    <row r="16">
      <c r="A16" s="20" t="inlineStr">
        <is>
          <t>Lab testing</t>
        </is>
      </c>
      <c r="B16" s="8" t="inlineStr">
        <is>
          <t>Environmental compliance (refrigerant handling, electrical safety)</t>
        </is>
      </c>
      <c r="C16" s="21" t="n">
        <v>1</v>
      </c>
      <c r="D16" s="22" t="n">
        <v>1000</v>
      </c>
      <c r="E16" s="23">
        <f>C16*D16</f>
        <v/>
      </c>
    </row>
    <row r="17">
      <c r="A17" s="13" t="n"/>
      <c r="B17" s="12" t="inlineStr">
        <is>
          <t>Subtotal – Lab testing</t>
        </is>
      </c>
      <c r="C17" s="13" t="n"/>
      <c r="D17" s="13" t="n"/>
      <c r="E17" s="14">
        <f>SUM(E13:E16)</f>
        <v/>
      </c>
    </row>
    <row r="19">
      <c r="A19" s="20" t="inlineStr">
        <is>
          <t>Field validation (6 months)</t>
        </is>
      </c>
      <c r="B19" s="8" t="inlineStr">
        <is>
          <t>Transport and installation at field site</t>
        </is>
      </c>
      <c r="C19" s="21" t="n">
        <v>1</v>
      </c>
      <c r="D19" s="22" t="n">
        <v>3000</v>
      </c>
      <c r="E19" s="23">
        <f>C19*D19</f>
        <v/>
      </c>
    </row>
    <row r="20">
      <c r="A20" s="20" t="inlineStr">
        <is>
          <t>Field validation (6 months)</t>
        </is>
      </c>
      <c r="B20" s="8" t="inlineStr">
        <is>
          <t>Site preparation (base, shelter, electrical connection)</t>
        </is>
      </c>
      <c r="C20" s="21" t="n">
        <v>1</v>
      </c>
      <c r="D20" s="22" t="n">
        <v>2500</v>
      </c>
      <c r="E20" s="23">
        <f>C20*D20</f>
        <v/>
      </c>
    </row>
    <row r="21">
      <c r="A21" s="20" t="inlineStr">
        <is>
          <t>Field validation (6 months)</t>
        </is>
      </c>
      <c r="B21" s="8" t="inlineStr">
        <is>
          <t>Electricity for 6 months of operation</t>
        </is>
      </c>
      <c r="C21" s="21" t="n">
        <v>6</v>
      </c>
      <c r="D21" s="22" t="n">
        <v>500</v>
      </c>
      <c r="E21" s="23">
        <f>C21*D21</f>
        <v/>
      </c>
    </row>
    <row r="22">
      <c r="A22" s="20" t="inlineStr">
        <is>
          <t>Field validation (6 months)</t>
        </is>
      </c>
      <c r="B22" s="8" t="inlineStr">
        <is>
          <t>Remote monitoring (IoT logger, SIM data, dashboard)</t>
        </is>
      </c>
      <c r="C22" s="21" t="n">
        <v>1</v>
      </c>
      <c r="D22" s="22" t="n">
        <v>1500</v>
      </c>
      <c r="E22" s="23">
        <f>C22*D22</f>
        <v/>
      </c>
    </row>
    <row r="23">
      <c r="A23" s="20" t="inlineStr">
        <is>
          <t>Field validation (6 months)</t>
        </is>
      </c>
      <c r="B23" s="8" t="inlineStr">
        <is>
          <t>Monthly water quality tests during field trial</t>
        </is>
      </c>
      <c r="C23" s="21" t="n">
        <v>6</v>
      </c>
      <c r="D23" s="22" t="n">
        <v>500</v>
      </c>
      <c r="E23" s="23">
        <f>C23*D23</f>
        <v/>
      </c>
    </row>
    <row r="24">
      <c r="A24" s="20" t="inlineStr">
        <is>
          <t>Field validation (6 months)</t>
        </is>
      </c>
      <c r="B24" s="8" t="inlineStr">
        <is>
          <t>Local operator / caretaker</t>
        </is>
      </c>
      <c r="C24" s="21" t="n">
        <v>6</v>
      </c>
      <c r="D24" s="22" t="n">
        <v>250</v>
      </c>
      <c r="E24" s="23">
        <f>C24*D24</f>
        <v/>
      </c>
    </row>
    <row r="25">
      <c r="A25" s="20" t="inlineStr">
        <is>
          <t>Field validation (6 months)</t>
        </is>
      </c>
      <c r="B25" s="8" t="inlineStr">
        <is>
          <t>Travel for site visits (team)</t>
        </is>
      </c>
      <c r="C25" s="21" t="n">
        <v>6</v>
      </c>
      <c r="D25" s="22" t="n">
        <v>750</v>
      </c>
      <c r="E25" s="23">
        <f>C25*D25</f>
        <v/>
      </c>
    </row>
    <row r="26">
      <c r="A26" s="20" t="inlineStr">
        <is>
          <t>Field validation (6 months)</t>
        </is>
      </c>
      <c r="B26" s="8" t="inlineStr">
        <is>
          <t>Maintenance and spare parts</t>
        </is>
      </c>
      <c r="C26" s="21" t="n">
        <v>1</v>
      </c>
      <c r="D26" s="22" t="n">
        <v>1000</v>
      </c>
      <c r="E26" s="23">
        <f>C26*D26</f>
        <v/>
      </c>
    </row>
    <row r="27">
      <c r="A27" s="13" t="n"/>
      <c r="B27" s="12" t="inlineStr">
        <is>
          <t>Subtotal – Field validation (6 months)</t>
        </is>
      </c>
      <c r="C27" s="13" t="n"/>
      <c r="D27" s="13" t="n"/>
      <c r="E27" s="14">
        <f>SUM(E19:E26)</f>
        <v/>
      </c>
    </row>
    <row r="29">
      <c r="A29" s="20" t="inlineStr">
        <is>
          <t>Stipend (1 FTE, 18 months)</t>
        </is>
      </c>
      <c r="B29" s="8" t="inlineStr">
        <is>
          <t>Engineer / project lead stipend (months)</t>
        </is>
      </c>
      <c r="C29" s="21" t="n">
        <v>18</v>
      </c>
      <c r="D29" s="24" t="n">
        <v>833.3333333333334</v>
      </c>
      <c r="E29" s="23">
        <f>C29*D29</f>
        <v/>
      </c>
    </row>
    <row r="30">
      <c r="A30" s="13" t="n"/>
      <c r="B30" s="12" t="inlineStr">
        <is>
          <t>Subtotal – Stipend (1 FTE, 18 months)</t>
        </is>
      </c>
      <c r="C30" s="13" t="n"/>
      <c r="D30" s="13" t="n"/>
      <c r="E30" s="14">
        <f>SUM(E29:E29)</f>
        <v/>
      </c>
    </row>
    <row r="32">
      <c r="A32" s="20" t="inlineStr">
        <is>
          <t>Open-source package</t>
        </is>
      </c>
      <c r="B32" s="8" t="inlineStr">
        <is>
          <t>Technical documentation, drawings, bill of materials</t>
        </is>
      </c>
      <c r="C32" s="21" t="n">
        <v>1</v>
      </c>
      <c r="D32" s="22" t="n">
        <v>2000</v>
      </c>
      <c r="E32" s="23">
        <f>C32*D32</f>
        <v/>
      </c>
    </row>
    <row r="33">
      <c r="A33" s="20" t="inlineStr">
        <is>
          <t>Open-source package</t>
        </is>
      </c>
      <c r="B33" s="8" t="inlineStr">
        <is>
          <t>Build and operation video</t>
        </is>
      </c>
      <c r="C33" s="21" t="n">
        <v>1</v>
      </c>
      <c r="D33" s="22" t="n">
        <v>1500</v>
      </c>
      <c r="E33" s="23">
        <f>C33*D33</f>
        <v/>
      </c>
    </row>
    <row r="34">
      <c r="A34" s="20" t="inlineStr">
        <is>
          <t>Open-source package</t>
        </is>
      </c>
      <c r="B34" s="8" t="inlineStr">
        <is>
          <t>Translation into Hindi, French, Spanish</t>
        </is>
      </c>
      <c r="C34" s="21" t="n">
        <v>3</v>
      </c>
      <c r="D34" s="22" t="n">
        <v>500</v>
      </c>
      <c r="E34" s="23">
        <f>C34*D34</f>
        <v/>
      </c>
    </row>
    <row r="35">
      <c r="A35" s="13" t="n"/>
      <c r="B35" s="12" t="inlineStr">
        <is>
          <t>Subtotal – Open-source package</t>
        </is>
      </c>
      <c r="C35" s="13" t="n"/>
      <c r="D35" s="13" t="n"/>
      <c r="E35" s="14">
        <f>SUM(E32:E34)</f>
        <v/>
      </c>
    </row>
    <row r="37">
      <c r="B37" s="3" t="inlineStr">
        <is>
          <t>Total of line items (before contingency)</t>
        </is>
      </c>
      <c r="E37" s="6">
        <f>E11+E17+E27+E30+E35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8" t="inlineStr">
        <is>
          <t>Assumptions</t>
        </is>
      </c>
    </row>
    <row r="3">
      <c r="A3" s="25" t="inlineStr">
        <is>
          <t>Currency</t>
        </is>
      </c>
      <c r="B3" s="2" t="inlineStr">
        <is>
          <t>All amounts are in USD, so B1 on the Mainline tab is 1. To work in INR, set B1 to the USD value of ₹1 and enter INR in column D.</t>
        </is>
      </c>
    </row>
    <row r="4">
      <c r="A4" s="25" t="inlineStr">
        <is>
          <t>Scenario</t>
        </is>
      </c>
      <c r="B4" s="2" t="inlineStr">
        <is>
          <t>One funding scenario: Mainline, $75,000. This is also the full project budget.</t>
        </is>
      </c>
    </row>
    <row r="5">
      <c r="A5" s="25" t="inlineStr">
        <is>
          <t>Contingency</t>
        </is>
      </c>
      <c r="B5" s="2" t="inlineStr">
        <is>
          <t>$5,000, which is 7.1% of the $70,000 line items (6.7% of the $75,000 total). This is above the template's suggested 5% because the prototype is a first full-size build and hardware prices can move.</t>
        </is>
      </c>
    </row>
    <row r="6">
      <c r="A6" s="25" t="inlineStr">
        <is>
          <t>Prototype</t>
        </is>
      </c>
      <c r="B6" s="2" t="inlineStr">
        <is>
          <t>One 1,000 L/day module. Prices are estimates from Indian suppliers and include fabrication and assembly labour.</t>
        </is>
      </c>
    </row>
    <row r="7">
      <c r="A7" s="25" t="inlineStr">
        <is>
          <t>Lab testing</t>
        </is>
      </c>
      <c r="B7" s="2" t="inlineStr">
        <is>
          <t>Water tested against BIS IS 10500 and WHO drinking-water guidelines at an accredited lab, 4 rounds. Includes instruments to log energy use (kWh per litre) and output across humidity and temperature.</t>
        </is>
      </c>
    </row>
    <row r="8">
      <c r="A8" s="25" t="inlineStr">
        <is>
          <t>Field validation</t>
        </is>
      </c>
      <c r="B8" s="2" t="inlineStr">
        <is>
          <t>One field site in India, 6 months of running with remote data logging, monthly water tests, and regular site visits.</t>
        </is>
      </c>
    </row>
    <row r="9">
      <c r="A9" s="25" t="inlineStr">
        <is>
          <t>Stipend</t>
        </is>
      </c>
      <c r="B9" s="2" t="inlineStr">
        <is>
          <t>One full-time engineer for 18 months at about $833 per month.</t>
        </is>
      </c>
    </row>
    <row r="10">
      <c r="A10" s="25" t="inlineStr">
        <is>
          <t>Open-source package</t>
        </is>
      </c>
      <c r="B10" s="2" t="inlineStr">
        <is>
          <t>Drawings, bill of materials, build guide, and a video, released under an open licence. Translated into Hindi, French and Spanish.</t>
        </is>
      </c>
    </row>
    <row r="11">
      <c r="A11" s="25" t="inlineStr">
        <is>
          <t>Timeline</t>
        </is>
      </c>
      <c r="B11" s="2" t="inlineStr">
        <is>
          <t>18 months in total. Build (months 1–6), lab testing (5–9), field trial (9–15), open-source release (15–18).</t>
        </is>
      </c>
    </row>
    <row r="12">
      <c r="A12" s="25" t="inlineStr">
        <is>
          <t>Detail tab</t>
        </is>
      </c>
      <c r="B12" s="2" t="inlineStr">
        <is>
          <t>The line-item split inside each category is our best current estimate. Category totals are fixed; we may move money between line items inside a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2026-10-10T08:36:14Z</dcterms:created>
  <dcterms:modified xmlns:dcterms="http://purl.org/dc/terms/" xmlns:xsi="http://www.w3.org/2001/XMLSchema-instance" xsi:type="dcterms:W3CDTF">2026-10-10T08:36:14Z</dcterms:modified>
</cp:coreProperties>
</file>